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F358EC5A-25D3-48FE-B2B6-4CDFE5EF422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nswersheet" sheetId="4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J2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L4" i="2"/>
  <c r="M4" i="2"/>
  <c r="L5" i="2"/>
</calcChain>
</file>

<file path=xl/sharedStrings.xml><?xml version="1.0" encoding="utf-8"?>
<sst xmlns="http://schemas.openxmlformats.org/spreadsheetml/2006/main" count="156" uniqueCount="120">
  <si>
    <t>3) Removing Duplicates:</t>
  </si>
  <si>
    <t>4) Splitting and Merging Data:</t>
  </si>
  <si>
    <t>5) Number Formatting:</t>
  </si>
  <si>
    <t>6) Conditional Formatting: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</si>
  <si>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</si>
  <si>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</si>
  <si>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</si>
  <si>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</si>
  <si>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</si>
  <si>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</si>
  <si>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</si>
  <si>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</si>
  <si>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</si>
  <si>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</si>
  <si>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</si>
  <si>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</si>
  <si>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</si>
  <si>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</si>
  <si>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</si>
  <si>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</si>
  <si>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</si>
  <si>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</si>
  <si>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</si>
  <si>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</si>
  <si>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</si>
  <si>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</si>
  <si>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</si>
  <si>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</si>
  <si>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</si>
  <si>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</si>
  <si>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</si>
  <si>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</si>
  <si>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</si>
  <si>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</si>
  <si>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</si>
  <si>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</si>
  <si>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</si>
  <si>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</si>
  <si>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</si>
  <si>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</si>
  <si>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</si>
  <si>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</si>
  <si>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</si>
  <si>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</si>
  <si>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</si>
  <si>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</si>
  <si>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</si>
  <si>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</si>
  <si>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</si>
  <si>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</si>
  <si>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</si>
  <si>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</si>
  <si>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</si>
  <si>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</si>
  <si>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</si>
  <si>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</si>
  <si>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</si>
  <si>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</si>
  <si>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</si>
  <si>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</si>
  <si>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</si>
  <si>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</si>
  <si>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</si>
  <si>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</si>
  <si>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</si>
  <si>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</si>
  <si>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</si>
  <si>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</si>
  <si>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</si>
  <si>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</si>
  <si>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</si>
  <si>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</si>
  <si>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</si>
  <si>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</si>
  <si>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</si>
  <si>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</si>
  <si>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</si>
  <si>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</si>
  <si>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</si>
  <si>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</si>
  <si>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</si>
  <si>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</si>
  <si>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</si>
  <si>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</si>
  <si>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</si>
  <si>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</si>
  <si>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</si>
  <si>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</si>
  <si>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</si>
  <si>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</si>
  <si>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</si>
  <si>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</si>
  <si>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</si>
  <si>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</si>
  <si>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</si>
  <si>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</si>
  <si>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</si>
  <si>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</si>
  <si>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</si>
  <si>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Median</t>
  </si>
  <si>
    <t>Unknown</t>
  </si>
  <si>
    <t>Manufacturing Date</t>
  </si>
  <si>
    <t>Country Name</t>
  </si>
  <si>
    <t>Product Brand</t>
  </si>
  <si>
    <t>The dataset "Data Cleaning and Transformation"  contains the information about some products brand and its pricing details.</t>
  </si>
  <si>
    <t xml:space="preserve"> Which is not a cleaned data. For analysing the data we have remove all duplicates,blanks and other typos.</t>
  </si>
  <si>
    <t>1) Missing Values:</t>
  </si>
  <si>
    <t>Here data having outliers so we can replace the blanks with Median(), Using Go-to-special function in Find and Select.</t>
  </si>
  <si>
    <t>• In excel data we can find the missing values using COUNTBLANK() function. In the Price column some values are missing and we have to fill that with Mean or Median .</t>
  </si>
  <si>
    <t>• There are products with missing categories we have to fill that with "Unknown". Using Go-to_special function.</t>
  </si>
  <si>
    <t>2) Correcting Inconsistency in Data:</t>
  </si>
  <si>
    <t xml:space="preserve">•In "Product Name" column  Inconsistancies are  cleared using Find and Replace function. </t>
  </si>
  <si>
    <t>• We can handle typos in "Category" column using Find and Replace function in Find and Select Ribbon.</t>
  </si>
  <si>
    <t>• Color scales conditional formating are used for "Price " column.</t>
  </si>
  <si>
    <t>• Yellow color highlights are given for the "Category" cell containg Electronics.</t>
  </si>
  <si>
    <t xml:space="preserve">• The data type of the "Price" column changed to currency format using Number Ribbon in Home tab. </t>
  </si>
  <si>
    <t>• The display of dates in  "Manufacturing Date" column changed using "DATEVALUE()" function.</t>
  </si>
  <si>
    <t xml:space="preserve">•In the dataset we can identify the duplicates using Duplicate function in Data tab,3 duplicates are removed. </t>
  </si>
  <si>
    <t>•"Product ID" column splited to two columns "Manufacturing Date" and "Country code" using LEFT() and RIGHT() function .</t>
  </si>
  <si>
    <t>• Merged  "Brand Name" and "Product Name" columns into one column named "Product Brand" using CONCATENATE(&amp;) fuction.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</si>
</sst>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yyyy\-mm\-dd;@"/>
    <numFmt numFmtId="166" formatCode="[$-409]mmmmm\-yy;@"/>
    <numFmt numFmtId="167" formatCode="[$-14C09]dd/mm/yyyy;@"/>
    <numFmt numFmtId="168" formatCode="dd/mm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8" fillId="0" borderId="0" xfId="0" applyFont="1" applyAlignment="1"/>
    <xf numFmtId="0" fontId="10" fillId="2" borderId="0" xfId="0" applyFont="1" applyFill="1" applyAlignment="1">
      <alignment horizontal="center"/>
    </xf>
    <xf numFmtId="0" fontId="11" fillId="0" borderId="0" xfId="0" applyFont="1" applyAlignment="1"/>
    <xf numFmtId="0" fontId="0" fillId="0" borderId="0" xfId="0" applyFont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5" fontId="0" fillId="0" borderId="0" xfId="0" applyNumberFormat="1" applyFont="1" applyAlignment="1">
      <alignment horizontal="center"/>
    </xf>
    <xf numFmtId="165" fontId="10" fillId="2" borderId="0" xfId="0" applyNumberFormat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0" fontId="5" fillId="4" borderId="0" xfId="0" applyFont="1" applyFill="1" applyAlignment="1"/>
    <xf numFmtId="167" fontId="0" fillId="0" borderId="0" xfId="0" applyNumberFormat="1" applyFont="1" applyAlignment="1">
      <alignment horizontal="center"/>
    </xf>
    <xf numFmtId="168" fontId="0" fillId="0" borderId="0" xfId="0" applyNumberFormat="1" applyFont="1" applyAlignment="1" applyProtection="1">
      <alignment horizontal="center"/>
    </xf>
    <xf numFmtId="168" fontId="9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/>
    <xf numFmtId="0" fontId="12" fillId="0" borderId="0" xfId="0" applyFont="1" applyAlignme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CB7F-9C93-4A81-8AD3-98379ED1FE7B}">
  <sheetPr>
    <outlinePr summaryBelow="0" summaryRight="0"/>
  </sheetPr>
  <dimension ref="A1:P1002"/>
  <sheetViews>
    <sheetView showGridLines="0" workbookViewId="0">
      <selection activeCell="H15" sqref="H1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6" ht="15.75" customHeight="1" x14ac:dyDescent="0.25">
      <c r="A1" s="1"/>
    </row>
    <row r="2" spans="1:16" ht="15.75" customHeight="1" x14ac:dyDescent="0.25">
      <c r="B2" s="12" t="s">
        <v>104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15.75" customHeight="1" x14ac:dyDescent="0.25">
      <c r="B3" s="12" t="s">
        <v>105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5.75" customHeight="1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 x14ac:dyDescent="0.25">
      <c r="B5" s="25" t="s">
        <v>106</v>
      </c>
    </row>
    <row r="6" spans="1:16" ht="15.75" customHeight="1" x14ac:dyDescent="0.25">
      <c r="C6" s="26" t="s">
        <v>108</v>
      </c>
    </row>
    <row r="7" spans="1:16" ht="15.75" customHeight="1" x14ac:dyDescent="0.25">
      <c r="C7" s="26" t="s">
        <v>107</v>
      </c>
    </row>
    <row r="8" spans="1:16" ht="15.75" customHeight="1" x14ac:dyDescent="0.25">
      <c r="B8" s="4"/>
      <c r="C8" s="26" t="s">
        <v>109</v>
      </c>
    </row>
    <row r="9" spans="1:16" ht="15.75" customHeight="1" x14ac:dyDescent="0.25">
      <c r="B9" s="4"/>
      <c r="C9" s="3"/>
    </row>
    <row r="10" spans="1:16" ht="15.75" customHeight="1" x14ac:dyDescent="0.25">
      <c r="B10" s="25" t="s">
        <v>110</v>
      </c>
    </row>
    <row r="11" spans="1:16" ht="15.75" customHeight="1" x14ac:dyDescent="0.25">
      <c r="C11" s="26" t="s">
        <v>111</v>
      </c>
    </row>
    <row r="12" spans="1:16" ht="15.75" customHeight="1" x14ac:dyDescent="0.25">
      <c r="C12" s="26" t="s">
        <v>112</v>
      </c>
    </row>
    <row r="13" spans="1:16" ht="15.75" customHeight="1" x14ac:dyDescent="0.25">
      <c r="C13" s="26"/>
    </row>
    <row r="14" spans="1:16" ht="15.75" customHeight="1" x14ac:dyDescent="0.25">
      <c r="B14" s="2" t="s">
        <v>0</v>
      </c>
    </row>
    <row r="15" spans="1:16" ht="15.75" customHeight="1" x14ac:dyDescent="0.25">
      <c r="B15" s="2"/>
      <c r="C15" s="26" t="s">
        <v>117</v>
      </c>
    </row>
    <row r="16" spans="1:16" ht="15.75" customHeight="1" x14ac:dyDescent="0.2"/>
    <row r="17" spans="2:11" ht="15.75" customHeight="1" x14ac:dyDescent="0.25">
      <c r="B17" s="5" t="s">
        <v>1</v>
      </c>
      <c r="C17" s="6"/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27" t="s">
        <v>118</v>
      </c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6"/>
      <c r="C19" s="27" t="s">
        <v>119</v>
      </c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5" t="s">
        <v>2</v>
      </c>
      <c r="C21" s="6"/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27" t="s">
        <v>115</v>
      </c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6"/>
      <c r="C23" s="27" t="s">
        <v>116</v>
      </c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28" t="s">
        <v>3</v>
      </c>
      <c r="C25" s="6"/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27" t="s">
        <v>113</v>
      </c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27" t="s">
        <v>114</v>
      </c>
      <c r="D27" s="6"/>
      <c r="E27" s="6"/>
      <c r="F27" s="6"/>
      <c r="G27" s="6"/>
      <c r="H27" s="6"/>
      <c r="I27" s="6"/>
      <c r="J27" s="6"/>
      <c r="K27" s="6"/>
    </row>
    <row r="28" spans="2:11" ht="15.75" customHeight="1" x14ac:dyDescent="0.25">
      <c r="B28" s="6"/>
      <c r="C28" s="7"/>
      <c r="D28" s="6"/>
      <c r="E28" s="6"/>
      <c r="F28" s="6"/>
      <c r="G28" s="6"/>
      <c r="H28" s="6"/>
      <c r="I28" s="6"/>
      <c r="J28" s="6"/>
      <c r="K28" s="6"/>
    </row>
    <row r="29" spans="2:11" ht="15.75" customHeight="1" x14ac:dyDescent="0.25">
      <c r="B29" s="6"/>
      <c r="C29" s="6"/>
      <c r="D29" s="8"/>
      <c r="E29" s="6"/>
      <c r="F29" s="6"/>
      <c r="G29" s="6"/>
      <c r="H29" s="6"/>
      <c r="I29" s="6"/>
      <c r="J29" s="6"/>
      <c r="K29" s="6"/>
    </row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tabSelected="1" workbookViewId="0">
      <selection activeCell="C6" sqref="C6"/>
    </sheetView>
  </sheetViews>
  <sheetFormatPr defaultColWidth="12.5703125" defaultRowHeight="15" customHeight="1" x14ac:dyDescent="0.2"/>
  <cols>
    <col min="1" max="1" width="12.5703125" customWidth="1"/>
    <col min="2" max="2" width="16" customWidth="1"/>
    <col min="3" max="6" width="12.5703125" customWidth="1"/>
    <col min="7" max="7" width="23.5703125" style="18" customWidth="1"/>
    <col min="8" max="8" width="14" style="15" customWidth="1"/>
    <col min="9" max="9" width="19.140625" style="15" customWidth="1"/>
    <col min="10" max="10" width="20.85546875" style="15" customWidth="1"/>
    <col min="11" max="11" width="19.85546875" customWidth="1"/>
    <col min="12" max="12" width="7.5703125" customWidth="1"/>
    <col min="13" max="13" width="6.85546875" customWidth="1"/>
  </cols>
  <sheetData>
    <row r="1" spans="1:19" ht="15.75" customHeight="1" x14ac:dyDescent="0.2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19" t="s">
        <v>101</v>
      </c>
      <c r="H1" s="13" t="s">
        <v>102</v>
      </c>
      <c r="I1" s="13" t="s">
        <v>103</v>
      </c>
      <c r="J1" s="19" t="s">
        <v>101</v>
      </c>
    </row>
    <row r="2" spans="1:19" ht="15.75" customHeight="1" x14ac:dyDescent="0.2">
      <c r="A2" s="10" t="s">
        <v>10</v>
      </c>
      <c r="B2" s="10" t="s">
        <v>44</v>
      </c>
      <c r="C2" s="10" t="s">
        <v>11</v>
      </c>
      <c r="D2" s="16">
        <v>1000</v>
      </c>
      <c r="E2" s="10">
        <v>30</v>
      </c>
      <c r="F2" s="10" t="s">
        <v>12</v>
      </c>
      <c r="G2" s="23" t="str">
        <f>LEFT(A2,6)</f>
        <v>28-JAN</v>
      </c>
      <c r="H2" s="15" t="str">
        <f>RIGHT(A2,2)</f>
        <v>US</v>
      </c>
      <c r="I2" s="15" t="str">
        <f>C2&amp;" "&amp;B2</f>
        <v>Dell Laptop</v>
      </c>
      <c r="J2" s="24">
        <f>DATEVALUE(G2)</f>
        <v>46050</v>
      </c>
    </row>
    <row r="3" spans="1:19" ht="15.75" customHeight="1" x14ac:dyDescent="0.25">
      <c r="A3" s="11" t="s">
        <v>13</v>
      </c>
      <c r="B3" s="11" t="s">
        <v>14</v>
      </c>
      <c r="C3" s="11" t="s">
        <v>15</v>
      </c>
      <c r="D3" s="17">
        <v>80</v>
      </c>
      <c r="E3" s="11">
        <v>15</v>
      </c>
      <c r="F3" s="11" t="s">
        <v>16</v>
      </c>
      <c r="G3" s="22" t="str">
        <f t="shared" ref="G3:G32" si="0">LEFT(A3,6)</f>
        <v>15-FEB</v>
      </c>
      <c r="H3" s="15" t="str">
        <f t="shared" ref="H3:H32" si="1">RIGHT(A3,2)</f>
        <v>US</v>
      </c>
      <c r="I3" s="15" t="str">
        <f t="shared" ref="I3:I32" si="2">C3&amp;" "&amp;B3</f>
        <v>Nike Sneakers</v>
      </c>
      <c r="J3" s="24">
        <f t="shared" ref="J3:J32" si="3">DATEVALUE(G3)</f>
        <v>46068</v>
      </c>
      <c r="L3" s="5"/>
      <c r="M3" s="6"/>
      <c r="N3" s="6"/>
      <c r="O3" s="6"/>
      <c r="P3" s="6"/>
      <c r="Q3" s="6"/>
      <c r="R3" s="6"/>
      <c r="S3" s="6"/>
    </row>
    <row r="4" spans="1:19" ht="15.75" customHeight="1" x14ac:dyDescent="0.25">
      <c r="A4" s="10" t="s">
        <v>17</v>
      </c>
      <c r="B4" s="10" t="s">
        <v>18</v>
      </c>
      <c r="C4" s="10" t="s">
        <v>19</v>
      </c>
      <c r="D4" s="16">
        <v>130</v>
      </c>
      <c r="E4" s="10">
        <v>40</v>
      </c>
      <c r="F4" s="10" t="s">
        <v>20</v>
      </c>
      <c r="G4" s="22" t="str">
        <f t="shared" si="0"/>
        <v>03-MAR</v>
      </c>
      <c r="H4" s="15" t="str">
        <f t="shared" si="1"/>
        <v>US</v>
      </c>
      <c r="I4" s="15" t="str">
        <f t="shared" si="2"/>
        <v>Keurig Coffee Maker</v>
      </c>
      <c r="J4" s="24">
        <f t="shared" si="3"/>
        <v>46084</v>
      </c>
      <c r="K4" s="12" t="s">
        <v>98</v>
      </c>
      <c r="L4" s="14">
        <f>COUNTBLANK(D2:D35)</f>
        <v>3</v>
      </c>
      <c r="M4" s="7">
        <f>COUNTBLANK(D2:D32)</f>
        <v>0</v>
      </c>
      <c r="N4" s="6"/>
      <c r="O4" s="6"/>
      <c r="P4" s="6"/>
      <c r="Q4" s="6"/>
      <c r="R4" s="6"/>
      <c r="S4" s="6"/>
    </row>
    <row r="5" spans="1:19" ht="15.75" customHeight="1" x14ac:dyDescent="0.25">
      <c r="A5" s="11" t="s">
        <v>21</v>
      </c>
      <c r="B5" s="11" t="s">
        <v>22</v>
      </c>
      <c r="C5" s="11" t="s">
        <v>23</v>
      </c>
      <c r="D5" s="17">
        <v>900</v>
      </c>
      <c r="E5" s="11">
        <v>25</v>
      </c>
      <c r="F5" s="11" t="s">
        <v>12</v>
      </c>
      <c r="G5" s="22" t="str">
        <f t="shared" si="0"/>
        <v>11-APR</v>
      </c>
      <c r="H5" s="15" t="str">
        <f t="shared" si="1"/>
        <v>US</v>
      </c>
      <c r="I5" s="15" t="str">
        <f t="shared" si="2"/>
        <v>Samsung smartphone</v>
      </c>
      <c r="J5" s="24">
        <f t="shared" si="3"/>
        <v>46123</v>
      </c>
      <c r="K5" s="12" t="s">
        <v>99</v>
      </c>
      <c r="L5" s="21">
        <f>MEDIAN(D2:D35)</f>
        <v>130</v>
      </c>
      <c r="M5" s="7"/>
      <c r="N5" s="6"/>
      <c r="O5" s="6"/>
      <c r="P5" s="6"/>
      <c r="Q5" s="6"/>
      <c r="R5" s="6"/>
      <c r="S5" s="6"/>
    </row>
    <row r="6" spans="1:19" ht="15.75" customHeight="1" x14ac:dyDescent="0.2">
      <c r="A6" s="10" t="s">
        <v>24</v>
      </c>
      <c r="B6" s="10" t="s">
        <v>25</v>
      </c>
      <c r="C6" s="10" t="s">
        <v>26</v>
      </c>
      <c r="D6" s="16">
        <v>70</v>
      </c>
      <c r="E6" s="10">
        <v>20</v>
      </c>
      <c r="F6" s="10" t="s">
        <v>100</v>
      </c>
      <c r="G6" s="22" t="str">
        <f t="shared" si="0"/>
        <v>22-MAY</v>
      </c>
      <c r="H6" s="15" t="str">
        <f t="shared" si="1"/>
        <v>US</v>
      </c>
      <c r="I6" s="15" t="str">
        <f t="shared" si="2"/>
        <v>North Face Backpack</v>
      </c>
      <c r="J6" s="24">
        <f t="shared" si="3"/>
        <v>46164</v>
      </c>
    </row>
    <row r="7" spans="1:19" ht="15.75" customHeight="1" x14ac:dyDescent="0.2">
      <c r="A7" s="11" t="s">
        <v>27</v>
      </c>
      <c r="B7" s="11" t="s">
        <v>28</v>
      </c>
      <c r="C7" s="11" t="s">
        <v>29</v>
      </c>
      <c r="D7" s="17">
        <v>130</v>
      </c>
      <c r="E7" s="11">
        <v>45</v>
      </c>
      <c r="F7" s="11" t="s">
        <v>12</v>
      </c>
      <c r="G7" s="22" t="str">
        <f t="shared" si="0"/>
        <v>07-JUN</v>
      </c>
      <c r="H7" s="15" t="str">
        <f t="shared" si="1"/>
        <v>UK</v>
      </c>
      <c r="I7" s="15" t="str">
        <f>C7&amp;" "&amp;B7</f>
        <v>Sony Headphones</v>
      </c>
      <c r="J7" s="24">
        <f t="shared" si="3"/>
        <v>46180</v>
      </c>
    </row>
    <row r="8" spans="1:19" ht="15.75" customHeight="1" x14ac:dyDescent="0.2">
      <c r="A8" s="10" t="s">
        <v>30</v>
      </c>
      <c r="B8" s="10" t="s">
        <v>31</v>
      </c>
      <c r="C8" s="10" t="s">
        <v>32</v>
      </c>
      <c r="D8" s="16">
        <v>30</v>
      </c>
      <c r="E8" s="10">
        <v>5</v>
      </c>
      <c r="F8" s="10" t="s">
        <v>16</v>
      </c>
      <c r="G8" s="22" t="str">
        <f t="shared" si="0"/>
        <v>19-JUL</v>
      </c>
      <c r="H8" s="15" t="str">
        <f t="shared" si="1"/>
        <v>UK</v>
      </c>
      <c r="I8" s="15" t="str">
        <f t="shared" si="2"/>
        <v>Adidas T-shirt</v>
      </c>
      <c r="J8" s="24">
        <f t="shared" si="3"/>
        <v>46222</v>
      </c>
    </row>
    <row r="9" spans="1:19" ht="15.75" customHeight="1" x14ac:dyDescent="0.2">
      <c r="A9" s="11" t="s">
        <v>33</v>
      </c>
      <c r="B9" s="11" t="s">
        <v>34</v>
      </c>
      <c r="C9" s="11" t="s">
        <v>35</v>
      </c>
      <c r="D9" s="17">
        <v>90</v>
      </c>
      <c r="E9" s="11">
        <v>35</v>
      </c>
      <c r="F9" s="11" t="s">
        <v>20</v>
      </c>
      <c r="G9" s="22" t="str">
        <f t="shared" si="0"/>
        <v>23-AUG</v>
      </c>
      <c r="H9" s="15" t="str">
        <f t="shared" si="1"/>
        <v>UK</v>
      </c>
      <c r="I9" s="15" t="str">
        <f t="shared" si="2"/>
        <v>Ninja Blender</v>
      </c>
      <c r="J9" s="24">
        <f t="shared" si="3"/>
        <v>46257</v>
      </c>
    </row>
    <row r="10" spans="1:19" ht="15.75" customHeight="1" x14ac:dyDescent="0.2">
      <c r="A10" s="10" t="s">
        <v>36</v>
      </c>
      <c r="B10" s="10" t="s">
        <v>37</v>
      </c>
      <c r="C10" s="10" t="s">
        <v>38</v>
      </c>
      <c r="D10" s="16">
        <v>500</v>
      </c>
      <c r="E10" s="10">
        <v>50</v>
      </c>
      <c r="F10" s="10" t="s">
        <v>12</v>
      </c>
      <c r="G10" s="22" t="str">
        <f t="shared" si="0"/>
        <v>05-SEP</v>
      </c>
      <c r="H10" s="15" t="str">
        <f t="shared" si="1"/>
        <v>UK</v>
      </c>
      <c r="I10" s="15" t="str">
        <f t="shared" si="2"/>
        <v>Apple Tablet</v>
      </c>
      <c r="J10" s="24">
        <f t="shared" si="3"/>
        <v>46270</v>
      </c>
    </row>
    <row r="11" spans="1:19" ht="15.75" customHeight="1" x14ac:dyDescent="0.2">
      <c r="A11" s="11" t="s">
        <v>39</v>
      </c>
      <c r="B11" s="11" t="s">
        <v>40</v>
      </c>
      <c r="C11" s="11" t="s">
        <v>41</v>
      </c>
      <c r="D11" s="17">
        <v>130</v>
      </c>
      <c r="E11" s="11">
        <v>10</v>
      </c>
      <c r="F11" s="11" t="s">
        <v>42</v>
      </c>
      <c r="G11" s="22" t="str">
        <f t="shared" si="0"/>
        <v>14-OCT</v>
      </c>
      <c r="H11" s="15" t="str">
        <f t="shared" si="1"/>
        <v>UK</v>
      </c>
      <c r="I11" s="15" t="str">
        <f t="shared" si="2"/>
        <v>Timberland Hiking Boots</v>
      </c>
      <c r="J11" s="24">
        <f t="shared" si="3"/>
        <v>46309</v>
      </c>
    </row>
    <row r="12" spans="1:19" ht="15.75" customHeight="1" x14ac:dyDescent="0.2">
      <c r="A12" s="10" t="s">
        <v>43</v>
      </c>
      <c r="B12" s="10" t="s">
        <v>44</v>
      </c>
      <c r="C12" s="10" t="s">
        <v>45</v>
      </c>
      <c r="D12" s="16">
        <v>950</v>
      </c>
      <c r="E12" s="10">
        <v>25</v>
      </c>
      <c r="F12" s="10" t="s">
        <v>12</v>
      </c>
      <c r="G12" s="22" t="str">
        <f t="shared" si="0"/>
        <v>17-JUN</v>
      </c>
      <c r="H12" s="15" t="str">
        <f t="shared" si="1"/>
        <v>IN</v>
      </c>
      <c r="I12" s="15" t="str">
        <f t="shared" si="2"/>
        <v>HP Laptop</v>
      </c>
      <c r="J12" s="24">
        <f t="shared" si="3"/>
        <v>46190</v>
      </c>
    </row>
    <row r="13" spans="1:19" ht="15.75" customHeight="1" x14ac:dyDescent="0.2">
      <c r="A13" s="11" t="s">
        <v>46</v>
      </c>
      <c r="B13" s="11" t="s">
        <v>14</v>
      </c>
      <c r="C13" s="11" t="s">
        <v>32</v>
      </c>
      <c r="D13" s="17">
        <v>90</v>
      </c>
      <c r="E13" s="11">
        <v>40</v>
      </c>
      <c r="F13" s="11" t="s">
        <v>100</v>
      </c>
      <c r="G13" s="22" t="str">
        <f t="shared" si="0"/>
        <v>25-NOV</v>
      </c>
      <c r="H13" s="15" t="str">
        <f t="shared" si="1"/>
        <v>AU</v>
      </c>
      <c r="I13" s="15" t="str">
        <f t="shared" si="2"/>
        <v>Adidas Sneakers</v>
      </c>
      <c r="J13" s="24">
        <f t="shared" si="3"/>
        <v>46351</v>
      </c>
    </row>
    <row r="14" spans="1:19" ht="15.75" customHeight="1" x14ac:dyDescent="0.2">
      <c r="A14" s="10" t="s">
        <v>47</v>
      </c>
      <c r="B14" s="10" t="s">
        <v>18</v>
      </c>
      <c r="C14" s="10" t="s">
        <v>48</v>
      </c>
      <c r="D14" s="16">
        <v>120</v>
      </c>
      <c r="E14" s="10">
        <v>35</v>
      </c>
      <c r="F14" s="10" t="s">
        <v>100</v>
      </c>
      <c r="G14" s="22" t="str">
        <f t="shared" si="0"/>
        <v>08-DEC</v>
      </c>
      <c r="H14" s="15" t="str">
        <f t="shared" si="1"/>
        <v>DE</v>
      </c>
      <c r="I14" s="15" t="str">
        <f t="shared" si="2"/>
        <v>Nespresso Coffee Maker</v>
      </c>
      <c r="J14" s="24">
        <f t="shared" si="3"/>
        <v>46364</v>
      </c>
    </row>
    <row r="15" spans="1:19" ht="15.75" customHeight="1" x14ac:dyDescent="0.2">
      <c r="A15" s="11" t="s">
        <v>49</v>
      </c>
      <c r="B15" s="11" t="s">
        <v>50</v>
      </c>
      <c r="C15" s="11" t="s">
        <v>51</v>
      </c>
      <c r="D15" s="17">
        <v>150</v>
      </c>
      <c r="E15" s="11">
        <v>15</v>
      </c>
      <c r="F15" s="11" t="s">
        <v>12</v>
      </c>
      <c r="G15" s="22" t="str">
        <f t="shared" si="0"/>
        <v>18-FEB</v>
      </c>
      <c r="H15" s="15" t="str">
        <f t="shared" si="1"/>
        <v>CA</v>
      </c>
      <c r="I15" s="15" t="str">
        <f t="shared" si="2"/>
        <v>Fitbit Smartwatch</v>
      </c>
      <c r="J15" s="24">
        <f t="shared" si="3"/>
        <v>46071</v>
      </c>
    </row>
    <row r="16" spans="1:19" ht="15.75" customHeight="1" x14ac:dyDescent="0.2">
      <c r="A16" s="10" t="s">
        <v>52</v>
      </c>
      <c r="B16" s="10" t="s">
        <v>28</v>
      </c>
      <c r="C16" s="10" t="s">
        <v>53</v>
      </c>
      <c r="D16" s="16">
        <v>250</v>
      </c>
      <c r="E16" s="10">
        <v>20</v>
      </c>
      <c r="F16" s="10" t="s">
        <v>12</v>
      </c>
      <c r="G16" s="22" t="str">
        <f t="shared" si="0"/>
        <v>16-APR</v>
      </c>
      <c r="H16" s="15" t="str">
        <f t="shared" si="1"/>
        <v>ES</v>
      </c>
      <c r="I16" s="15" t="str">
        <f t="shared" si="2"/>
        <v>Bose Headphones</v>
      </c>
      <c r="J16" s="24">
        <f t="shared" si="3"/>
        <v>46128</v>
      </c>
    </row>
    <row r="17" spans="1:10" ht="15.75" customHeight="1" x14ac:dyDescent="0.2">
      <c r="A17" s="11" t="s">
        <v>54</v>
      </c>
      <c r="B17" s="11" t="s">
        <v>55</v>
      </c>
      <c r="C17" s="11" t="s">
        <v>56</v>
      </c>
      <c r="D17" s="17">
        <v>50</v>
      </c>
      <c r="E17" s="11">
        <v>35</v>
      </c>
      <c r="F17" s="11" t="s">
        <v>57</v>
      </c>
      <c r="G17" s="22" t="str">
        <f t="shared" si="0"/>
        <v>21-AUG</v>
      </c>
      <c r="H17" s="15" t="str">
        <f t="shared" si="1"/>
        <v>CA</v>
      </c>
      <c r="I17" s="15" t="str">
        <f t="shared" si="2"/>
        <v>Samsonite Laptop Bag</v>
      </c>
      <c r="J17" s="24">
        <f t="shared" si="3"/>
        <v>46255</v>
      </c>
    </row>
    <row r="18" spans="1:10" ht="15.75" customHeight="1" x14ac:dyDescent="0.2">
      <c r="A18" s="10" t="s">
        <v>58</v>
      </c>
      <c r="B18" s="10" t="s">
        <v>50</v>
      </c>
      <c r="C18" s="10" t="s">
        <v>59</v>
      </c>
      <c r="D18" s="16">
        <v>160</v>
      </c>
      <c r="E18" s="10">
        <v>15</v>
      </c>
      <c r="F18" s="10" t="s">
        <v>12</v>
      </c>
      <c r="G18" s="22" t="str">
        <f t="shared" si="0"/>
        <v>20-AUG</v>
      </c>
      <c r="H18" s="15" t="str">
        <f t="shared" si="1"/>
        <v>CN</v>
      </c>
      <c r="I18" s="15" t="str">
        <f t="shared" si="2"/>
        <v>Huawei Smartwatch</v>
      </c>
      <c r="J18" s="24">
        <f t="shared" si="3"/>
        <v>46254</v>
      </c>
    </row>
    <row r="19" spans="1:10" ht="15.75" customHeight="1" x14ac:dyDescent="0.2">
      <c r="A19" s="11" t="s">
        <v>60</v>
      </c>
      <c r="B19" s="11" t="s">
        <v>44</v>
      </c>
      <c r="C19" s="11" t="s">
        <v>61</v>
      </c>
      <c r="D19" s="17">
        <v>980</v>
      </c>
      <c r="E19" s="11">
        <v>10</v>
      </c>
      <c r="F19" s="11" t="s">
        <v>12</v>
      </c>
      <c r="G19" s="22" t="str">
        <f t="shared" si="0"/>
        <v>27-JAN</v>
      </c>
      <c r="H19" s="15" t="str">
        <f t="shared" si="1"/>
        <v>IT</v>
      </c>
      <c r="I19" s="15" t="str">
        <f t="shared" si="2"/>
        <v>Asus Laptop</v>
      </c>
      <c r="J19" s="24">
        <f t="shared" si="3"/>
        <v>46049</v>
      </c>
    </row>
    <row r="20" spans="1:10" ht="15.75" customHeight="1" x14ac:dyDescent="0.2">
      <c r="A20" s="10" t="s">
        <v>62</v>
      </c>
      <c r="B20" s="10" t="s">
        <v>63</v>
      </c>
      <c r="C20" s="10" t="s">
        <v>64</v>
      </c>
      <c r="D20" s="16">
        <v>150</v>
      </c>
      <c r="E20" s="10">
        <v>15</v>
      </c>
      <c r="F20" s="10" t="s">
        <v>16</v>
      </c>
      <c r="G20" s="22" t="str">
        <f t="shared" si="0"/>
        <v>01-MAR</v>
      </c>
      <c r="H20" s="15" t="str">
        <f t="shared" si="1"/>
        <v>UK</v>
      </c>
      <c r="I20" s="15" t="str">
        <f t="shared" si="2"/>
        <v>Oakley Sunglasses</v>
      </c>
      <c r="J20" s="24">
        <f t="shared" si="3"/>
        <v>46082</v>
      </c>
    </row>
    <row r="21" spans="1:10" ht="15.75" customHeight="1" x14ac:dyDescent="0.2">
      <c r="A21" s="11" t="s">
        <v>65</v>
      </c>
      <c r="B21" s="11" t="s">
        <v>66</v>
      </c>
      <c r="C21" s="11" t="s">
        <v>67</v>
      </c>
      <c r="D21" s="17">
        <v>130</v>
      </c>
      <c r="E21" s="11">
        <v>10</v>
      </c>
      <c r="F21" s="11" t="s">
        <v>42</v>
      </c>
      <c r="G21" s="22" t="str">
        <f t="shared" si="0"/>
        <v>14-AUG</v>
      </c>
      <c r="H21" s="15" t="str">
        <f t="shared" si="1"/>
        <v>US</v>
      </c>
      <c r="I21" s="15" t="str">
        <f t="shared" si="2"/>
        <v>Coleman Camping Tent</v>
      </c>
      <c r="J21" s="24">
        <f t="shared" si="3"/>
        <v>46248</v>
      </c>
    </row>
    <row r="22" spans="1:10" ht="15.75" customHeight="1" x14ac:dyDescent="0.2">
      <c r="A22" s="10" t="s">
        <v>68</v>
      </c>
      <c r="B22" s="10" t="s">
        <v>69</v>
      </c>
      <c r="C22" s="10" t="s">
        <v>70</v>
      </c>
      <c r="D22" s="16">
        <v>700</v>
      </c>
      <c r="E22" s="10">
        <v>50</v>
      </c>
      <c r="F22" s="10" t="s">
        <v>12</v>
      </c>
      <c r="G22" s="22" t="str">
        <f t="shared" si="0"/>
        <v>14-MAY</v>
      </c>
      <c r="H22" s="15" t="str">
        <f t="shared" si="1"/>
        <v>RU</v>
      </c>
      <c r="I22" s="15" t="str">
        <f t="shared" si="2"/>
        <v>Nikon Camera</v>
      </c>
      <c r="J22" s="24">
        <f t="shared" si="3"/>
        <v>46156</v>
      </c>
    </row>
    <row r="23" spans="1:10" ht="15.75" customHeight="1" x14ac:dyDescent="0.2">
      <c r="A23" s="11" t="s">
        <v>71</v>
      </c>
      <c r="B23" s="11" t="s">
        <v>72</v>
      </c>
      <c r="C23" s="11" t="s">
        <v>73</v>
      </c>
      <c r="D23" s="17">
        <v>80</v>
      </c>
      <c r="E23" s="11">
        <v>20</v>
      </c>
      <c r="F23" s="11" t="s">
        <v>20</v>
      </c>
      <c r="G23" s="22" t="str">
        <f t="shared" si="0"/>
        <v>09-JAN</v>
      </c>
      <c r="H23" s="15" t="str">
        <f t="shared" si="1"/>
        <v>CA</v>
      </c>
      <c r="I23" s="15" t="str">
        <f t="shared" si="2"/>
        <v>Panasonic Microwave</v>
      </c>
      <c r="J23" s="24">
        <f t="shared" si="3"/>
        <v>46031</v>
      </c>
    </row>
    <row r="24" spans="1:10" ht="15.75" customHeight="1" x14ac:dyDescent="0.2">
      <c r="A24" s="10" t="s">
        <v>74</v>
      </c>
      <c r="B24" s="10" t="s">
        <v>75</v>
      </c>
      <c r="C24" s="10" t="s">
        <v>76</v>
      </c>
      <c r="D24" s="16">
        <v>150</v>
      </c>
      <c r="E24" s="10">
        <v>30</v>
      </c>
      <c r="F24" s="10" t="s">
        <v>100</v>
      </c>
      <c r="G24" s="22" t="str">
        <f t="shared" si="0"/>
        <v>19-JUL</v>
      </c>
      <c r="H24" s="15" t="str">
        <f t="shared" si="1"/>
        <v>BR</v>
      </c>
      <c r="I24" s="15" t="str">
        <f t="shared" si="2"/>
        <v>Xiaomi Fitness Tracker</v>
      </c>
      <c r="J24" s="24">
        <f t="shared" si="3"/>
        <v>46222</v>
      </c>
    </row>
    <row r="25" spans="1:10" ht="15.75" customHeight="1" x14ac:dyDescent="0.2">
      <c r="A25" s="10" t="s">
        <v>77</v>
      </c>
      <c r="B25" s="10" t="s">
        <v>78</v>
      </c>
      <c r="C25" s="10" t="s">
        <v>79</v>
      </c>
      <c r="D25" s="16">
        <v>800</v>
      </c>
      <c r="E25" s="10">
        <v>45</v>
      </c>
      <c r="F25" s="10" t="s">
        <v>12</v>
      </c>
      <c r="G25" s="22" t="str">
        <f t="shared" si="0"/>
        <v>29-SEP</v>
      </c>
      <c r="H25" s="15" t="str">
        <f t="shared" si="1"/>
        <v>CA</v>
      </c>
      <c r="I25" s="15" t="str">
        <f t="shared" si="2"/>
        <v>Google Smartphone</v>
      </c>
      <c r="J25" s="24">
        <f t="shared" si="3"/>
        <v>46294</v>
      </c>
    </row>
    <row r="26" spans="1:10" ht="15.75" customHeight="1" x14ac:dyDescent="0.2">
      <c r="A26" s="11" t="s">
        <v>80</v>
      </c>
      <c r="B26" s="11" t="s">
        <v>63</v>
      </c>
      <c r="C26" s="11" t="s">
        <v>81</v>
      </c>
      <c r="D26" s="17">
        <v>130</v>
      </c>
      <c r="E26" s="11">
        <v>25</v>
      </c>
      <c r="F26" s="11" t="s">
        <v>16</v>
      </c>
      <c r="G26" s="22" t="str">
        <f t="shared" si="0"/>
        <v>03-JUN</v>
      </c>
      <c r="H26" s="15" t="str">
        <f t="shared" si="1"/>
        <v>CA</v>
      </c>
      <c r="I26" s="15" t="str">
        <f t="shared" si="2"/>
        <v>Ray-Ban Sunglasses</v>
      </c>
      <c r="J26" s="24">
        <f t="shared" si="3"/>
        <v>46176</v>
      </c>
    </row>
    <row r="27" spans="1:10" ht="15.75" customHeight="1" x14ac:dyDescent="0.2">
      <c r="A27" s="10" t="s">
        <v>82</v>
      </c>
      <c r="B27" s="10" t="s">
        <v>34</v>
      </c>
      <c r="C27" s="10" t="s">
        <v>83</v>
      </c>
      <c r="D27" s="16">
        <v>400</v>
      </c>
      <c r="E27" s="10">
        <v>40</v>
      </c>
      <c r="F27" s="10" t="s">
        <v>20</v>
      </c>
      <c r="G27" s="22" t="str">
        <f t="shared" si="0"/>
        <v>11-JUL</v>
      </c>
      <c r="H27" s="15" t="str">
        <f t="shared" si="1"/>
        <v>CA</v>
      </c>
      <c r="I27" s="15" t="str">
        <f t="shared" si="2"/>
        <v>Vitamix Blender</v>
      </c>
      <c r="J27" s="24">
        <f t="shared" si="3"/>
        <v>46214</v>
      </c>
    </row>
    <row r="28" spans="1:10" ht="15.75" customHeight="1" x14ac:dyDescent="0.2">
      <c r="A28" s="10" t="s">
        <v>84</v>
      </c>
      <c r="B28" s="10" t="s">
        <v>85</v>
      </c>
      <c r="C28" s="10" t="s">
        <v>86</v>
      </c>
      <c r="D28" s="16">
        <v>60</v>
      </c>
      <c r="E28" s="10">
        <v>30</v>
      </c>
      <c r="F28" s="10" t="s">
        <v>16</v>
      </c>
      <c r="G28" s="22" t="str">
        <f t="shared" si="0"/>
        <v>07-MAR</v>
      </c>
      <c r="H28" s="15" t="str">
        <f t="shared" si="1"/>
        <v>CA</v>
      </c>
      <c r="I28" s="15" t="str">
        <f t="shared" si="2"/>
        <v>Zara Dress</v>
      </c>
      <c r="J28" s="24">
        <f t="shared" si="3"/>
        <v>46088</v>
      </c>
    </row>
    <row r="29" spans="1:10" ht="15.75" customHeight="1" x14ac:dyDescent="0.2">
      <c r="A29" s="11" t="s">
        <v>87</v>
      </c>
      <c r="B29" s="11" t="s">
        <v>88</v>
      </c>
      <c r="C29" s="11" t="s">
        <v>89</v>
      </c>
      <c r="D29" s="17">
        <v>40</v>
      </c>
      <c r="E29" s="11">
        <v>10</v>
      </c>
      <c r="F29" s="11" t="s">
        <v>20</v>
      </c>
      <c r="G29" s="22" t="str">
        <f t="shared" si="0"/>
        <v>13-APR</v>
      </c>
      <c r="H29" s="15" t="str">
        <f t="shared" si="1"/>
        <v>CA</v>
      </c>
      <c r="I29" s="15" t="str">
        <f t="shared" si="2"/>
        <v>Hamilton Toaster</v>
      </c>
      <c r="J29" s="24">
        <f t="shared" si="3"/>
        <v>46125</v>
      </c>
    </row>
    <row r="30" spans="1:10" ht="15.75" customHeight="1" x14ac:dyDescent="0.2">
      <c r="A30" s="10" t="s">
        <v>90</v>
      </c>
      <c r="B30" s="10" t="s">
        <v>75</v>
      </c>
      <c r="C30" s="10" t="s">
        <v>91</v>
      </c>
      <c r="D30" s="16">
        <v>130</v>
      </c>
      <c r="E30" s="10">
        <v>5</v>
      </c>
      <c r="F30" s="10" t="s">
        <v>12</v>
      </c>
      <c r="G30" s="22" t="str">
        <f t="shared" si="0"/>
        <v>24-MAY</v>
      </c>
      <c r="H30" s="15" t="str">
        <f t="shared" si="1"/>
        <v>CA</v>
      </c>
      <c r="I30" s="15" t="str">
        <f t="shared" si="2"/>
        <v>Garmin Fitness Tracker</v>
      </c>
      <c r="J30" s="24">
        <f t="shared" si="3"/>
        <v>46166</v>
      </c>
    </row>
    <row r="31" spans="1:10" ht="15.75" customHeight="1" x14ac:dyDescent="0.2">
      <c r="A31" s="11" t="s">
        <v>92</v>
      </c>
      <c r="B31" s="11" t="s">
        <v>93</v>
      </c>
      <c r="C31" s="11" t="s">
        <v>94</v>
      </c>
      <c r="D31" s="17">
        <v>50</v>
      </c>
      <c r="E31" s="11">
        <v>50</v>
      </c>
      <c r="F31" s="11" t="s">
        <v>16</v>
      </c>
      <c r="G31" s="22" t="str">
        <f t="shared" si="0"/>
        <v>02-DEC</v>
      </c>
      <c r="H31" s="15" t="str">
        <f t="shared" si="1"/>
        <v>CA</v>
      </c>
      <c r="I31" s="15" t="str">
        <f t="shared" si="2"/>
        <v>Levi's Jeans</v>
      </c>
      <c r="J31" s="24">
        <f t="shared" si="3"/>
        <v>46358</v>
      </c>
    </row>
    <row r="32" spans="1:10" ht="15.75" customHeight="1" x14ac:dyDescent="0.2">
      <c r="A32" s="11" t="s">
        <v>95</v>
      </c>
      <c r="B32" s="11" t="s">
        <v>96</v>
      </c>
      <c r="C32" s="11" t="s">
        <v>97</v>
      </c>
      <c r="D32" s="17">
        <v>100</v>
      </c>
      <c r="E32" s="11">
        <v>20</v>
      </c>
      <c r="F32" s="11" t="s">
        <v>57</v>
      </c>
      <c r="G32" s="20" t="str">
        <f t="shared" si="0"/>
        <v>09-JUL</v>
      </c>
      <c r="H32" s="15" t="str">
        <f t="shared" si="1"/>
        <v>FR</v>
      </c>
      <c r="I32" s="15" t="str">
        <f t="shared" si="2"/>
        <v>Casio Watch</v>
      </c>
      <c r="J32" s="24">
        <f t="shared" si="3"/>
        <v>46212</v>
      </c>
    </row>
    <row r="33" spans="10:10" ht="15.75" customHeight="1" x14ac:dyDescent="0.2">
      <c r="J33" s="24"/>
    </row>
    <row r="34" spans="10:10" ht="15.75" customHeight="1" x14ac:dyDescent="0.2"/>
    <row r="35" spans="10:10" ht="15.75" customHeight="1" x14ac:dyDescent="0.2"/>
    <row r="36" spans="10:10" ht="15.75" customHeight="1" x14ac:dyDescent="0.2"/>
    <row r="37" spans="10:10" ht="15.75" customHeight="1" x14ac:dyDescent="0.2"/>
    <row r="38" spans="10:10" ht="15.75" customHeight="1" x14ac:dyDescent="0.2"/>
    <row r="39" spans="10:10" ht="15.75" customHeight="1" x14ac:dyDescent="0.2"/>
    <row r="40" spans="10:10" ht="15.75" customHeight="1" x14ac:dyDescent="0.2"/>
    <row r="41" spans="10:10" ht="15.75" customHeight="1" x14ac:dyDescent="0.2"/>
    <row r="42" spans="10:10" ht="15.75" customHeight="1" x14ac:dyDescent="0.2"/>
    <row r="43" spans="10:10" ht="15.75" customHeight="1" x14ac:dyDescent="0.2"/>
    <row r="44" spans="10:10" ht="15.75" customHeight="1" x14ac:dyDescent="0.2"/>
    <row r="45" spans="10:10" ht="15.75" customHeight="1" x14ac:dyDescent="0.2"/>
    <row r="46" spans="10:10" ht="15.75" customHeight="1" x14ac:dyDescent="0.2"/>
    <row r="47" spans="10:10" ht="15.75" customHeight="1" x14ac:dyDescent="0.2"/>
    <row r="48" spans="10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2:D3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32">
    <cfRule type="cellIs" dxfId="1" priority="1" operator="equal">
      <formula>"Electronics"</formula>
    </cfRule>
    <cfRule type="cellIs" dxfId="0" priority="2" operator="equal">
      <formula>"Electronics"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Answersheet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rasmi2415@gmail.com</cp:lastModifiedBy>
  <dcterms:modified xsi:type="dcterms:W3CDTF">2026-10-19T12:20:44Z</dcterms:modified>
</cp:coreProperties>
</file>